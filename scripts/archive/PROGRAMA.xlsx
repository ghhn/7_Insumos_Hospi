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402F74BE-EE1D-4807-935E-D1A71E99149C}" xr6:coauthVersionLast="47" xr6:coauthVersionMax="47" xr10:uidLastSave="{00000000-0000-0000-0000-000000000000}"/>
  <bookViews>
    <workbookView xWindow="-108" yWindow="-108" windowWidth="23256" windowHeight="12456" xr2:uid="{399109E6-B4FF-4983-99E0-6543715237B9}"/>
  </bookViews>
  <sheets>
    <sheet name="ACU_Compara" sheetId="1" r:id="rId1"/>
  </sheets>
  <definedNames>
    <definedName name="_xlnm._FilterDatabase" localSheetId="0" hidden="1">ACU_Compara!$B$2:$AA$26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3" i="1"/>
  <c r="M4" i="1"/>
  <c r="M5" i="1"/>
  <c r="M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N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M27" i="1" l="1"/>
  <c r="K27" i="1"/>
</calcChain>
</file>

<file path=xl/sharedStrings.xml><?xml version="1.0" encoding="utf-8"?>
<sst xmlns="http://schemas.openxmlformats.org/spreadsheetml/2006/main" count="255" uniqueCount="55">
  <si>
    <t>Partida</t>
  </si>
  <si>
    <t>Oficinas</t>
  </si>
  <si>
    <t>Código</t>
  </si>
  <si>
    <t>Descripción</t>
  </si>
  <si>
    <t>Unid.</t>
  </si>
  <si>
    <t>Recursos</t>
  </si>
  <si>
    <t>Cantidad</t>
  </si>
  <si>
    <t>Precio</t>
  </si>
  <si>
    <t>Parcial</t>
  </si>
  <si>
    <t>OPERARIO</t>
  </si>
  <si>
    <t>hh</t>
  </si>
  <si>
    <t>OFICIAL</t>
  </si>
  <si>
    <t>PEON</t>
  </si>
  <si>
    <t>CLAVOS CON CABEZA DE 2 1/2", 3", 4"</t>
  </si>
  <si>
    <t>kg</t>
  </si>
  <si>
    <t>-</t>
  </si>
  <si>
    <t>PIEDRA GRANDE DE 8"</t>
  </si>
  <si>
    <t>m³</t>
  </si>
  <si>
    <t>KIT DE ELECTRICIDAD</t>
  </si>
  <si>
    <t>und</t>
  </si>
  <si>
    <t>BISAGRA ALUMINIZ.CAPUCHINA 2 1/2"x2 1/2"</t>
  </si>
  <si>
    <t>MADERA EUCALIPTO ROLLIZO 4"X6M</t>
  </si>
  <si>
    <t>ROLLIZO DE EUCALIPTO DE 4" x3 m</t>
  </si>
  <si>
    <t>MADERA CORRIENTE (TABLAS O LISTONES)..</t>
  </si>
  <si>
    <t>p²</t>
  </si>
  <si>
    <t xml:space="preserve">TABLERO DE TRIPLAY DE 4 MM 1.22X2.44M </t>
  </si>
  <si>
    <t>pln</t>
  </si>
  <si>
    <t>TRIPLAY DE 4'x8'x 4 mm</t>
  </si>
  <si>
    <t>CALAMINA GALVANIZADA 90% DE ZINC 3.60 X 0.8M X 0.22MM</t>
  </si>
  <si>
    <t>CALAMINA # 30 DE  3.60m x 0.83m x 0.14mm</t>
  </si>
  <si>
    <t>pza</t>
  </si>
  <si>
    <t>HERRAMIENTAS MANUALES</t>
  </si>
  <si>
    <t>%mo</t>
  </si>
  <si>
    <t>Almacenes</t>
  </si>
  <si>
    <t>OE.1.1.1.01</t>
  </si>
  <si>
    <t>OE.1.1.1.02</t>
  </si>
  <si>
    <t>Metrado</t>
  </si>
  <si>
    <t>Item</t>
  </si>
  <si>
    <t>Cantidad x Metrado</t>
  </si>
  <si>
    <t>Columna6</t>
  </si>
  <si>
    <t>Columna7</t>
  </si>
  <si>
    <t>Item2</t>
  </si>
  <si>
    <t>Partida3</t>
  </si>
  <si>
    <t>Código4</t>
  </si>
  <si>
    <t>Descripción5</t>
  </si>
  <si>
    <t>Unid.8</t>
  </si>
  <si>
    <t>Recursos9</t>
  </si>
  <si>
    <t>Cantidad10</t>
  </si>
  <si>
    <t>Precio11</t>
  </si>
  <si>
    <t>Parcial12</t>
  </si>
  <si>
    <t>Metrado13</t>
  </si>
  <si>
    <t>Cantidad x Metrado14</t>
  </si>
  <si>
    <t>adquirido</t>
  </si>
  <si>
    <t>modificado</t>
  </si>
  <si>
    <t>Cantidad x Metrado2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</si>
</sst>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b/>
      <sz val="8"/>
      <color rgb="FF000000"/>
      <name val="Arial Narrow"/>
      <family val="2"/>
    </font>
    <font>
      <sz val="8"/>
      <color rgb="FFFF0000"/>
      <name val="Arial Narrow"/>
      <family val="2"/>
    </font>
    <font>
      <b/>
      <sz val="8"/>
      <color rgb="FFFF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EE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AEB6C1"/>
      </top>
      <bottom/>
      <diagonal/>
    </border>
    <border>
      <left style="thin">
        <color rgb="FFAEB6C1"/>
      </left>
      <right/>
      <top style="thin">
        <color rgb="FFAEB6C1"/>
      </top>
      <bottom style="thin">
        <color rgb="FFAEB6C1"/>
      </bottom>
      <diagonal/>
    </border>
    <border>
      <left/>
      <right style="thin">
        <color rgb="FFAEB6C1"/>
      </right>
      <top style="thin">
        <color rgb="FFAEB6C1"/>
      </top>
      <bottom style="thin">
        <color rgb="FFAEB6C1"/>
      </bottom>
      <diagonal/>
    </border>
    <border>
      <left/>
      <right/>
      <top style="thin">
        <color rgb="FFAEB6C1"/>
      </top>
      <bottom style="thin">
        <color rgb="FFAEB6C1"/>
      </bottom>
      <diagonal/>
    </border>
  </borders>
  <cellStyleXfs count="1">
    <xf numFmtId="0" fontId="0" fillId="0" borderId="0"/>
  </cellStyleXfs>
  <cellXfs count="45">
    <xf numFmtId="0" fontId="0" fillId="0" borderId="0" xfId="0"/>
    <xf numFmtId="4" fontId="1" fillId="0" borderId="0" xfId="0" applyNumberFormat="1" applyFont="1" applyAlignment="1">
      <alignment horizontal="center" vertical="center" readingOrder="1"/>
    </xf>
    <xf numFmtId="164" fontId="1" fillId="0" borderId="0" xfId="0" applyNumberFormat="1" applyFont="1" applyAlignment="1">
      <alignment horizontal="center" vertical="center" readingOrder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4" fontId="1" fillId="2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0" fontId="1" fillId="2" borderId="0" xfId="0" applyFont="1" applyFill="1" applyAlignment="1">
      <alignment horizontal="left" vertical="center" readingOrder="1"/>
    </xf>
    <xf numFmtId="0" fontId="1" fillId="2" borderId="0" xfId="0" applyFont="1" applyFill="1" applyAlignment="1">
      <alignment horizontal="center" vertical="center" readingOrder="1"/>
    </xf>
    <xf numFmtId="4" fontId="1" fillId="2" borderId="0" xfId="0" applyNumberFormat="1" applyFont="1" applyFill="1" applyAlignment="1">
      <alignment horizontal="center" vertical="center" readingOrder="1"/>
    </xf>
    <xf numFmtId="164" fontId="1" fillId="2" borderId="0" xfId="0" applyNumberFormat="1" applyFont="1" applyFill="1" applyAlignment="1">
      <alignment horizontal="center" vertical="center" readingOrder="1"/>
    </xf>
    <xf numFmtId="4" fontId="3" fillId="3" borderId="3" xfId="0" applyNumberFormat="1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left" vertical="center" readingOrder="1"/>
    </xf>
    <xf numFmtId="0" fontId="3" fillId="3" borderId="4" xfId="0" applyFont="1" applyFill="1" applyBorder="1" applyAlignment="1">
      <alignment horizontal="left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4" fontId="3" fillId="3" borderId="4" xfId="0" applyNumberFormat="1" applyFont="1" applyFill="1" applyBorder="1" applyAlignment="1">
      <alignment horizontal="center" vertical="center" readingOrder="1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center" vertical="center" readingOrder="1"/>
    </xf>
    <xf numFmtId="4" fontId="4" fillId="2" borderId="0" xfId="0" applyNumberFormat="1" applyFont="1" applyFill="1" applyAlignment="1">
      <alignment horizontal="center" vertical="center" readingOrder="1"/>
    </xf>
    <xf numFmtId="164" fontId="4" fillId="2" borderId="0" xfId="0" applyNumberFormat="1" applyFont="1" applyFill="1" applyAlignment="1">
      <alignment horizontal="center" vertical="center" readingOrder="1"/>
    </xf>
    <xf numFmtId="4" fontId="5" fillId="3" borderId="3" xfId="0" applyNumberFormat="1" applyFont="1" applyFill="1" applyBorder="1" applyAlignment="1">
      <alignment horizontal="center" vertical="center" readingOrder="1"/>
    </xf>
    <xf numFmtId="0" fontId="5" fillId="3" borderId="2" xfId="0" applyFont="1" applyFill="1" applyBorder="1" applyAlignment="1">
      <alignment horizontal="left" vertical="center" readingOrder="1"/>
    </xf>
    <xf numFmtId="0" fontId="5" fillId="3" borderId="4" xfId="0" applyFont="1" applyFill="1" applyBorder="1" applyAlignment="1">
      <alignment horizontal="left" vertical="center" readingOrder="1"/>
    </xf>
    <xf numFmtId="0" fontId="5" fillId="3" borderId="4" xfId="0" applyFont="1" applyFill="1" applyBorder="1" applyAlignment="1">
      <alignment horizontal="center" vertical="center" readingOrder="1"/>
    </xf>
    <xf numFmtId="4" fontId="5" fillId="3" borderId="4" xfId="0" applyNumberFormat="1" applyFont="1" applyFill="1" applyBorder="1" applyAlignment="1">
      <alignment horizontal="center" vertical="center" readingOrder="1"/>
    </xf>
    <xf numFmtId="164" fontId="5" fillId="3" borderId="4" xfId="0" applyNumberFormat="1" applyFont="1" applyFill="1" applyBorder="1" applyAlignment="1">
      <alignment horizontal="center" vertical="center" readingOrder="1"/>
    </xf>
    <xf numFmtId="0" fontId="5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center" vertical="center" readingOrder="1"/>
    </xf>
    <xf numFmtId="4" fontId="5" fillId="2" borderId="0" xfId="0" applyNumberFormat="1" applyFont="1" applyFill="1" applyAlignment="1">
      <alignment horizontal="center" vertical="center" readingOrder="1"/>
    </xf>
    <xf numFmtId="164" fontId="5" fillId="2" borderId="0" xfId="0" applyNumberFormat="1" applyFont="1" applyFill="1" applyAlignment="1">
      <alignment horizontal="center" vertical="center" readingOrder="1"/>
    </xf>
    <xf numFmtId="4" fontId="4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vertical="center"/>
    </xf>
    <xf numFmtId="164" fontId="3" fillId="5" borderId="4" xfId="0" applyNumberFormat="1" applyFont="1" applyFill="1" applyBorder="1" applyAlignment="1">
      <alignment horizontal="center" vertical="center" readingOrder="1"/>
    </xf>
    <xf numFmtId="4" fontId="3" fillId="5" borderId="4" xfId="0" applyNumberFormat="1" applyFont="1" applyFill="1" applyBorder="1" applyAlignment="1">
      <alignment horizontal="center" vertical="center" readingOrder="1"/>
    </xf>
    <xf numFmtId="4" fontId="3" fillId="4" borderId="4" xfId="0" applyNumberFormat="1" applyFont="1" applyFill="1" applyBorder="1" applyAlignment="1">
      <alignment horizontal="center" vertical="center" readingOrder="1"/>
    </xf>
    <xf numFmtId="4" fontId="5" fillId="4" borderId="4" xfId="0" applyNumberFormat="1" applyFont="1" applyFill="1" applyBorder="1" applyAlignment="1">
      <alignment horizontal="center" vertical="center" readingOrder="1"/>
    </xf>
    <xf numFmtId="164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" fontId="3" fillId="6" borderId="0" xfId="0" applyNumberFormat="1" applyFont="1" applyFill="1" applyAlignment="1">
      <alignment horizontal="center" vertical="center" readingOrder="1"/>
    </xf>
    <xf numFmtId="4" fontId="3" fillId="6" borderId="4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#,##0.00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164" formatCode="#,##0.0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numFmt numFmtId="164" formatCode="#,##0.00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fill>
        <patternFill patternType="solid">
          <fgColor indexed="64"/>
          <bgColor rgb="FFECEEF2"/>
        </patternFill>
      </fill>
      <alignment horizontal="center" vertical="center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D5042-8FD9-43BA-9D40-B7AD6D92C3CC}" name="Tabla2" displayName="Tabla2" ref="A2:AA26" totalsRowShown="0" headerRowDxfId="28" dataDxfId="27">
  <autoFilter ref="A2:AA26" xr:uid="{1D4D5042-8FD9-43BA-9D40-B7AD6D92C3CC}">
    <filterColumn colId="3">
      <filters>
        <filter val="PIEDRA GRANDE DE 8&quot;"/>
      </filters>
    </filterColumn>
  </autoFilter>
  <tableColumns count="27">
    <tableColumn id="1" xr3:uid="{8EE089E7-7424-4069-A949-852675A37626}" name="Item" dataDxfId="26"/>
    <tableColumn id="2" xr3:uid="{A2F288FD-44FB-40FE-A0D0-60E8C70888B6}" name="Partida" dataDxfId="25"/>
    <tableColumn id="3" xr3:uid="{096E4038-28B3-43EE-93FA-4620E22641B3}" name="Código" dataDxfId="24"/>
    <tableColumn id="4" xr3:uid="{5107A604-4836-4E30-AC2F-112020EFE0AF}" name="Descripción" dataDxfId="23"/>
    <tableColumn id="5" xr3:uid="{945966EF-1C45-46EE-8D48-04FF45872AF1}" name="Unid." dataDxfId="22"/>
    <tableColumn id="6" xr3:uid="{66420101-8701-49FE-ACD0-838A0EC6DA43}" name="Recursos" dataDxfId="21"/>
    <tableColumn id="7" xr3:uid="{73E5CE8E-1918-4BAC-BF61-377A37A63C4F}" name="Cantidad" dataDxfId="20"/>
    <tableColumn id="8" xr3:uid="{397E9FEF-6CA3-40B9-B791-6F0BC9B78D86}" name="Precio" dataDxfId="19"/>
    <tableColumn id="9" xr3:uid="{B7BF5BCD-9A4F-49D1-8EFE-C8787D8B58E9}" name="Parcial" dataDxfId="18"/>
    <tableColumn id="10" xr3:uid="{4A9F2845-76E1-417E-BA45-1A404C0FC57E}" name="Metrado" dataDxfId="17"/>
    <tableColumn id="11" xr3:uid="{3A7F563E-5F54-401D-AAA0-FA04F152F2AB}" name="Cantidad x Metrado" dataDxfId="16">
      <calculatedColumnFormula>+ROUND(G3*J3,4)</calculatedColumnFormula>
    </tableColumn>
    <tableColumn id="26" xr3:uid="{55DEC4CF-7359-48F7-A6FA-542DEB3A840D}" name="modificado" dataDxfId="15"/>
    <tableColumn id="27" xr3:uid="{2B87F442-7E31-4538-9825-FBADA913152C}" name="Cantidad x Metrado2" dataDxfId="14">
      <calculatedColumnFormula>+ROUND(J3*L3,4)</calculatedColumnFormula>
    </tableColumn>
    <tableColumn id="12" xr3:uid="{7C396028-9E34-49D3-8271-CCA3C96D681C}" name="adquirido" dataDxfId="13"/>
    <tableColumn id="13" xr3:uid="{BB3A934F-53EB-4BF3-9409-72D2BFF98A36}" name="Item2" dataDxfId="12"/>
    <tableColumn id="14" xr3:uid="{27E2DBAA-375F-4AC5-AA8E-4A660B9725B6}" name="Partida3" dataDxfId="11"/>
    <tableColumn id="15" xr3:uid="{2B79822C-233B-4F73-B578-169C90DE92B0}" name="Código4" dataDxfId="10"/>
    <tableColumn id="16" xr3:uid="{C840C9E9-4A11-4F15-A721-15BA38CFA4EC}" name="Descripción5" dataDxfId="9"/>
    <tableColumn id="17" xr3:uid="{8E0B10E5-B906-40A5-875C-CBF958268026}" name="Columna6" dataDxfId="8"/>
    <tableColumn id="18" xr3:uid="{BC6C735A-C34B-4534-B74B-3152072E4512}" name="Columna7" dataDxfId="7"/>
    <tableColumn id="19" xr3:uid="{D2CEDEA7-7DB8-4A6E-AA10-BC7D3CA7D0CE}" name="Unid.8" dataDxfId="6"/>
    <tableColumn id="20" xr3:uid="{30122DD1-8A2D-40BF-8ECC-D583A031F489}" name="Recursos9" dataDxfId="5"/>
    <tableColumn id="21" xr3:uid="{209E9333-9481-4172-8900-47E9F6A0956C}" name="Cantidad10" dataDxfId="4"/>
    <tableColumn id="22" xr3:uid="{632445EE-E72C-4E31-A5B0-EF56A6CE2DE2}" name="Precio11" dataDxfId="3"/>
    <tableColumn id="23" xr3:uid="{3947C49F-6D6B-4960-B4B2-3BE0F4C24E0F}" name="Parcial12" dataDxfId="2"/>
    <tableColumn id="24" xr3:uid="{38811BF0-4DFA-4692-B301-1508F98B8ECA}" name="Metrado13" dataDxfId="1"/>
    <tableColumn id="25" xr3:uid="{3121E188-B775-4422-817E-5B49C2B60D7D}" name="Cantidad x Metrado14" dataDxfId="0">
      <calculatedColumnFormula>+ROUND(W3*Z3,4)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955E-A0B9-4BE5-BBDD-B29E440116AB}">
  <sheetPr>
    <outlinePr summaryBelow="0"/>
  </sheetPr>
  <dimension ref="A1:AA29"/>
  <sheetViews>
    <sheetView showGridLines="0" tabSelected="1" zoomScale="130" zoomScaleNormal="130" workbookViewId="0">
      <selection sqref="A1:XFD1"/>
    </sheetView>
  </sheetViews>
  <sheetFormatPr baseColWidth="10" defaultColWidth="10.77734375" defaultRowHeight="12" customHeight="1" x14ac:dyDescent="0.3"/>
  <cols>
    <col min="1" max="3" width="10.77734375" style="3"/>
    <col min="4" max="4" width="20.5546875" style="3" customWidth="1"/>
    <col min="5" max="5" width="8.77734375" style="4" customWidth="1"/>
    <col min="6" max="6" width="8.77734375" style="5" customWidth="1"/>
    <col min="7" max="7" width="8.77734375" style="6" customWidth="1"/>
    <col min="8" max="9" width="8.77734375" style="5" customWidth="1"/>
    <col min="10" max="10" width="10.77734375" style="3"/>
    <col min="11" max="13" width="13.88671875" style="3" customWidth="1"/>
    <col min="14" max="17" width="10.77734375" style="3"/>
    <col min="18" max="18" width="10.77734375" style="3" customWidth="1"/>
    <col min="19" max="20" width="8.77734375" style="3" customWidth="1"/>
    <col min="21" max="21" width="8.77734375" style="4" customWidth="1"/>
    <col min="22" max="22" width="8.77734375" style="5" customWidth="1"/>
    <col min="23" max="23" width="8.88671875" style="6" customWidth="1"/>
    <col min="24" max="25" width="8.77734375" style="5" customWidth="1"/>
    <col min="26" max="26" width="10.77734375" style="3"/>
    <col min="27" max="27" width="15.21875" style="3" customWidth="1"/>
    <col min="28" max="16384" width="10.77734375" style="3"/>
  </cols>
  <sheetData>
    <row r="1" spans="1:27" ht="12" customHeight="1" x14ac:dyDescent="0.3">
      <c r="C1" s="7"/>
      <c r="D1" s="7"/>
      <c r="E1" s="8"/>
      <c r="F1" s="9"/>
      <c r="G1" s="10"/>
      <c r="H1" s="9"/>
      <c r="Q1" s="7"/>
      <c r="R1" s="7"/>
      <c r="S1" s="7"/>
      <c r="T1" s="7"/>
      <c r="U1" s="8"/>
      <c r="V1" s="9"/>
      <c r="W1" s="10"/>
      <c r="X1" s="9"/>
      <c r="Y1" s="9"/>
    </row>
    <row r="2" spans="1:27" ht="12" customHeight="1" x14ac:dyDescent="0.3">
      <c r="A2" s="16" t="s">
        <v>37</v>
      </c>
      <c r="B2" s="16" t="s">
        <v>0</v>
      </c>
      <c r="C2" s="16" t="s">
        <v>2</v>
      </c>
      <c r="D2" s="17" t="s">
        <v>3</v>
      </c>
      <c r="E2" s="18" t="s">
        <v>4</v>
      </c>
      <c r="F2" s="19" t="s">
        <v>5</v>
      </c>
      <c r="G2" s="37" t="s">
        <v>6</v>
      </c>
      <c r="H2" s="19" t="s">
        <v>7</v>
      </c>
      <c r="I2" s="15" t="s">
        <v>8</v>
      </c>
      <c r="J2" s="38" t="s">
        <v>36</v>
      </c>
      <c r="K2" s="39" t="s">
        <v>38</v>
      </c>
      <c r="L2" s="43" t="s">
        <v>53</v>
      </c>
      <c r="M2" s="44" t="s">
        <v>54</v>
      </c>
      <c r="N2" s="3" t="s">
        <v>52</v>
      </c>
      <c r="O2" s="26" t="s">
        <v>41</v>
      </c>
      <c r="P2" s="26" t="s">
        <v>42</v>
      </c>
      <c r="Q2" s="26" t="s">
        <v>43</v>
      </c>
      <c r="R2" s="27" t="s">
        <v>44</v>
      </c>
      <c r="S2" s="27" t="s">
        <v>39</v>
      </c>
      <c r="T2" s="27" t="s">
        <v>40</v>
      </c>
      <c r="U2" s="28" t="s">
        <v>45</v>
      </c>
      <c r="V2" s="29" t="s">
        <v>46</v>
      </c>
      <c r="W2" s="30" t="s">
        <v>47</v>
      </c>
      <c r="X2" s="29" t="s">
        <v>48</v>
      </c>
      <c r="Y2" s="25" t="s">
        <v>49</v>
      </c>
      <c r="Z2" s="29" t="s">
        <v>50</v>
      </c>
      <c r="AA2" s="40" t="s">
        <v>51</v>
      </c>
    </row>
    <row r="3" spans="1:27" ht="12" hidden="1" customHeight="1" x14ac:dyDescent="0.3">
      <c r="A3" s="3" t="s">
        <v>34</v>
      </c>
      <c r="B3" s="3" t="s">
        <v>1</v>
      </c>
      <c r="C3" s="11">
        <v>471060001</v>
      </c>
      <c r="D3" s="11" t="s">
        <v>9</v>
      </c>
      <c r="E3" s="12" t="s">
        <v>10</v>
      </c>
      <c r="F3" s="13">
        <v>2</v>
      </c>
      <c r="G3" s="14">
        <v>0.4</v>
      </c>
      <c r="H3" s="13">
        <v>19.7</v>
      </c>
      <c r="I3" s="13">
        <v>7.88</v>
      </c>
      <c r="J3" s="1">
        <v>1018</v>
      </c>
      <c r="K3" s="1">
        <f>+ROUND(G3*J3,4)</f>
        <v>407.2</v>
      </c>
      <c r="L3" s="1"/>
      <c r="M3" s="1">
        <f t="shared" ref="M3:M26" si="0">+ROUND(J3*L3,4)</f>
        <v>0</v>
      </c>
      <c r="N3" s="41"/>
      <c r="O3" s="36" t="s">
        <v>34</v>
      </c>
      <c r="P3" s="36" t="s">
        <v>1</v>
      </c>
      <c r="Q3" s="21">
        <v>470010103</v>
      </c>
      <c r="R3" s="21" t="s">
        <v>9</v>
      </c>
      <c r="S3" s="21"/>
      <c r="T3" s="21"/>
      <c r="U3" s="22" t="s">
        <v>10</v>
      </c>
      <c r="V3" s="23">
        <v>2</v>
      </c>
      <c r="W3" s="24">
        <v>0.4</v>
      </c>
      <c r="X3" s="23">
        <v>20.67</v>
      </c>
      <c r="Y3" s="23">
        <v>8.27</v>
      </c>
      <c r="Z3" s="35">
        <v>1018</v>
      </c>
      <c r="AA3" s="35">
        <f>+ROUND(W3*Z3,4)</f>
        <v>407.2</v>
      </c>
    </row>
    <row r="4" spans="1:27" ht="12" hidden="1" customHeight="1" x14ac:dyDescent="0.3">
      <c r="A4" s="3" t="s">
        <v>34</v>
      </c>
      <c r="B4" s="3" t="s">
        <v>1</v>
      </c>
      <c r="C4" s="11">
        <v>470020001</v>
      </c>
      <c r="D4" s="11" t="s">
        <v>11</v>
      </c>
      <c r="E4" s="12" t="s">
        <v>10</v>
      </c>
      <c r="F4" s="13">
        <v>4</v>
      </c>
      <c r="G4" s="14">
        <v>0.8</v>
      </c>
      <c r="H4" s="13">
        <v>16.399999999999999</v>
      </c>
      <c r="I4" s="13">
        <v>13.12</v>
      </c>
      <c r="J4" s="1">
        <v>1018</v>
      </c>
      <c r="K4" s="1">
        <f t="shared" ref="K4:K26" si="1">+ROUND(G4*J4,4)</f>
        <v>814.4</v>
      </c>
      <c r="L4" s="1"/>
      <c r="M4" s="1">
        <f t="shared" si="0"/>
        <v>0</v>
      </c>
      <c r="N4" s="41"/>
      <c r="O4" s="36" t="s">
        <v>34</v>
      </c>
      <c r="P4" s="36" t="s">
        <v>1</v>
      </c>
      <c r="Q4" s="21">
        <v>470010102</v>
      </c>
      <c r="R4" s="21" t="s">
        <v>11</v>
      </c>
      <c r="S4" s="21"/>
      <c r="T4" s="21"/>
      <c r="U4" s="22" t="s">
        <v>10</v>
      </c>
      <c r="V4" s="23">
        <v>4</v>
      </c>
      <c r="W4" s="24">
        <v>0.8</v>
      </c>
      <c r="X4" s="23">
        <v>17.5</v>
      </c>
      <c r="Y4" s="23">
        <v>14</v>
      </c>
      <c r="Z4" s="35">
        <v>1018</v>
      </c>
      <c r="AA4" s="35">
        <f t="shared" ref="AA4:AA26" si="2">+ROUND(W4*Z4,4)</f>
        <v>814.4</v>
      </c>
    </row>
    <row r="5" spans="1:27" ht="12" hidden="1" customHeight="1" x14ac:dyDescent="0.3">
      <c r="A5" s="3" t="s">
        <v>34</v>
      </c>
      <c r="B5" s="3" t="s">
        <v>1</v>
      </c>
      <c r="C5" s="11">
        <v>471060276</v>
      </c>
      <c r="D5" s="11" t="s">
        <v>12</v>
      </c>
      <c r="E5" s="12" t="s">
        <v>10</v>
      </c>
      <c r="F5" s="13">
        <v>2</v>
      </c>
      <c r="G5" s="14">
        <v>0.4</v>
      </c>
      <c r="H5" s="13">
        <v>15.3</v>
      </c>
      <c r="I5" s="13">
        <v>6.12</v>
      </c>
      <c r="J5" s="1">
        <v>1018</v>
      </c>
      <c r="K5" s="1">
        <f t="shared" si="1"/>
        <v>407.2</v>
      </c>
      <c r="L5" s="1"/>
      <c r="M5" s="1">
        <f t="shared" si="0"/>
        <v>0</v>
      </c>
      <c r="N5" s="41"/>
      <c r="O5" s="36" t="s">
        <v>34</v>
      </c>
      <c r="P5" s="36" t="s">
        <v>1</v>
      </c>
      <c r="Q5" s="21">
        <v>470010001</v>
      </c>
      <c r="R5" s="21" t="s">
        <v>12</v>
      </c>
      <c r="S5" s="21"/>
      <c r="T5" s="21"/>
      <c r="U5" s="22" t="s">
        <v>10</v>
      </c>
      <c r="V5" s="23">
        <v>2</v>
      </c>
      <c r="W5" s="24">
        <v>0.4</v>
      </c>
      <c r="X5" s="23">
        <v>15.88</v>
      </c>
      <c r="Y5" s="23">
        <v>6.35</v>
      </c>
      <c r="Z5" s="35">
        <v>1018</v>
      </c>
      <c r="AA5" s="35">
        <f t="shared" si="2"/>
        <v>407.2</v>
      </c>
    </row>
    <row r="6" spans="1:27" ht="12" hidden="1" customHeight="1" x14ac:dyDescent="0.3">
      <c r="A6" s="3" t="s">
        <v>34</v>
      </c>
      <c r="B6" s="3" t="s">
        <v>1</v>
      </c>
      <c r="C6" s="11">
        <v>20020277</v>
      </c>
      <c r="D6" s="11" t="s">
        <v>13</v>
      </c>
      <c r="E6" s="12" t="s">
        <v>14</v>
      </c>
      <c r="F6" s="13" t="s">
        <v>15</v>
      </c>
      <c r="G6" s="14">
        <v>0.25</v>
      </c>
      <c r="H6" s="13">
        <v>7</v>
      </c>
      <c r="I6" s="13">
        <v>1.75</v>
      </c>
      <c r="J6" s="1">
        <v>1018</v>
      </c>
      <c r="K6" s="1">
        <f t="shared" si="1"/>
        <v>254.5</v>
      </c>
      <c r="L6" s="1"/>
      <c r="M6" s="1">
        <f t="shared" si="0"/>
        <v>0</v>
      </c>
      <c r="N6" s="41"/>
      <c r="O6" s="36" t="s">
        <v>34</v>
      </c>
      <c r="P6" s="36" t="s">
        <v>1</v>
      </c>
      <c r="Q6" s="21">
        <v>20020280</v>
      </c>
      <c r="R6" s="21" t="s">
        <v>13</v>
      </c>
      <c r="S6" s="21"/>
      <c r="T6" s="21"/>
      <c r="U6" s="22" t="s">
        <v>14</v>
      </c>
      <c r="V6" s="23" t="s">
        <v>15</v>
      </c>
      <c r="W6" s="24">
        <v>0.25</v>
      </c>
      <c r="X6" s="23">
        <v>7</v>
      </c>
      <c r="Y6" s="23">
        <v>1.75</v>
      </c>
      <c r="Z6" s="35">
        <v>1018</v>
      </c>
      <c r="AA6" s="35">
        <f t="shared" si="2"/>
        <v>254.5</v>
      </c>
    </row>
    <row r="7" spans="1:27" ht="12" customHeight="1" x14ac:dyDescent="0.3">
      <c r="A7" s="3" t="s">
        <v>34</v>
      </c>
      <c r="B7" s="3" t="s">
        <v>1</v>
      </c>
      <c r="C7" s="11">
        <v>50020001</v>
      </c>
      <c r="D7" s="11" t="s">
        <v>16</v>
      </c>
      <c r="E7" s="12" t="s">
        <v>17</v>
      </c>
      <c r="F7" s="13" t="s">
        <v>15</v>
      </c>
      <c r="G7" s="14">
        <v>0.05</v>
      </c>
      <c r="H7" s="13">
        <v>75</v>
      </c>
      <c r="I7" s="13">
        <v>3.75</v>
      </c>
      <c r="J7" s="1">
        <v>1018</v>
      </c>
      <c r="K7" s="1">
        <f t="shared" si="1"/>
        <v>50.9</v>
      </c>
      <c r="L7" s="2">
        <v>1.7999999999999999E-2</v>
      </c>
      <c r="M7" s="1">
        <f t="shared" si="0"/>
        <v>18.324000000000002</v>
      </c>
      <c r="N7" s="41">
        <v>100</v>
      </c>
      <c r="O7" s="42" t="s">
        <v>34</v>
      </c>
      <c r="P7" s="42" t="s">
        <v>1</v>
      </c>
      <c r="Q7" s="31">
        <v>50020001</v>
      </c>
      <c r="R7" s="31" t="s">
        <v>16</v>
      </c>
      <c r="S7" s="31"/>
      <c r="T7" s="31"/>
      <c r="U7" s="32" t="s">
        <v>17</v>
      </c>
      <c r="V7" s="33" t="s">
        <v>15</v>
      </c>
      <c r="W7" s="34">
        <v>0.01</v>
      </c>
      <c r="X7" s="33">
        <v>75</v>
      </c>
      <c r="Y7" s="23">
        <v>0.75</v>
      </c>
      <c r="Z7" s="35">
        <v>1018</v>
      </c>
      <c r="AA7" s="35">
        <f t="shared" si="2"/>
        <v>10.18</v>
      </c>
    </row>
    <row r="8" spans="1:27" ht="12" hidden="1" customHeight="1" x14ac:dyDescent="0.3">
      <c r="A8" s="3" t="s">
        <v>34</v>
      </c>
      <c r="B8" s="3" t="s">
        <v>1</v>
      </c>
      <c r="C8" s="11">
        <v>300020002</v>
      </c>
      <c r="D8" s="11" t="s">
        <v>18</v>
      </c>
      <c r="E8" s="12" t="s">
        <v>19</v>
      </c>
      <c r="F8" s="13" t="s">
        <v>15</v>
      </c>
      <c r="G8" s="14">
        <v>0.15</v>
      </c>
      <c r="H8" s="13">
        <v>129.74</v>
      </c>
      <c r="I8" s="13">
        <v>19.46</v>
      </c>
      <c r="J8" s="1">
        <v>1018</v>
      </c>
      <c r="K8" s="1">
        <f t="shared" si="1"/>
        <v>152.69999999999999</v>
      </c>
      <c r="L8" s="1"/>
      <c r="M8" s="1">
        <f t="shared" si="0"/>
        <v>0</v>
      </c>
      <c r="N8" s="41"/>
      <c r="O8" s="36" t="s">
        <v>34</v>
      </c>
      <c r="P8" s="36" t="s">
        <v>1</v>
      </c>
      <c r="Q8" s="21">
        <v>300020002</v>
      </c>
      <c r="R8" s="21" t="s">
        <v>18</v>
      </c>
      <c r="S8" s="21"/>
      <c r="T8" s="21"/>
      <c r="U8" s="22" t="s">
        <v>19</v>
      </c>
      <c r="V8" s="23" t="s">
        <v>15</v>
      </c>
      <c r="W8" s="24">
        <v>0.15</v>
      </c>
      <c r="X8" s="23">
        <v>129.74</v>
      </c>
      <c r="Y8" s="23">
        <v>19.46</v>
      </c>
      <c r="Z8" s="35">
        <v>1018</v>
      </c>
      <c r="AA8" s="35">
        <f t="shared" si="2"/>
        <v>152.69999999999999</v>
      </c>
    </row>
    <row r="9" spans="1:27" ht="12" hidden="1" customHeight="1" x14ac:dyDescent="0.3">
      <c r="A9" s="3" t="s">
        <v>34</v>
      </c>
      <c r="B9" s="3" t="s">
        <v>1</v>
      </c>
      <c r="C9" s="11">
        <v>260020001</v>
      </c>
      <c r="D9" s="11" t="s">
        <v>20</v>
      </c>
      <c r="E9" s="12" t="s">
        <v>19</v>
      </c>
      <c r="F9" s="13" t="s">
        <v>15</v>
      </c>
      <c r="G9" s="14">
        <v>0.15</v>
      </c>
      <c r="H9" s="13">
        <v>6.5</v>
      </c>
      <c r="I9" s="13">
        <v>0.98</v>
      </c>
      <c r="J9" s="1">
        <v>1018</v>
      </c>
      <c r="K9" s="1">
        <f t="shared" si="1"/>
        <v>152.69999999999999</v>
      </c>
      <c r="L9" s="1"/>
      <c r="M9" s="1">
        <f t="shared" si="0"/>
        <v>0</v>
      </c>
      <c r="N9" s="41"/>
      <c r="O9" s="36" t="s">
        <v>34</v>
      </c>
      <c r="P9" s="36" t="s">
        <v>1</v>
      </c>
      <c r="Q9" s="21">
        <v>260020001</v>
      </c>
      <c r="R9" s="21" t="s">
        <v>20</v>
      </c>
      <c r="S9" s="21"/>
      <c r="T9" s="21"/>
      <c r="U9" s="22" t="s">
        <v>19</v>
      </c>
      <c r="V9" s="23" t="s">
        <v>15</v>
      </c>
      <c r="W9" s="24">
        <v>0.15</v>
      </c>
      <c r="X9" s="23">
        <v>6.5</v>
      </c>
      <c r="Y9" s="23">
        <v>0.98</v>
      </c>
      <c r="Z9" s="35">
        <v>1018</v>
      </c>
      <c r="AA9" s="35">
        <f t="shared" si="2"/>
        <v>152.69999999999999</v>
      </c>
    </row>
    <row r="10" spans="1:27" ht="12" hidden="1" customHeight="1" x14ac:dyDescent="0.3">
      <c r="A10" s="3" t="s">
        <v>34</v>
      </c>
      <c r="B10" s="3" t="s">
        <v>1</v>
      </c>
      <c r="C10" s="11">
        <v>430022270</v>
      </c>
      <c r="D10" s="11" t="s">
        <v>22</v>
      </c>
      <c r="E10" s="12" t="s">
        <v>19</v>
      </c>
      <c r="F10" s="13" t="s">
        <v>15</v>
      </c>
      <c r="G10" s="14">
        <v>0.3</v>
      </c>
      <c r="H10" s="13">
        <v>18.05</v>
      </c>
      <c r="I10" s="13">
        <v>5.42</v>
      </c>
      <c r="J10" s="1">
        <v>1018</v>
      </c>
      <c r="K10" s="1">
        <f t="shared" si="1"/>
        <v>305.39999999999998</v>
      </c>
      <c r="L10" s="1"/>
      <c r="M10" s="1">
        <f t="shared" si="0"/>
        <v>0</v>
      </c>
      <c r="N10" s="41"/>
      <c r="O10" s="36" t="s">
        <v>34</v>
      </c>
      <c r="P10" s="36" t="s">
        <v>1</v>
      </c>
      <c r="Q10" s="21">
        <v>430010014</v>
      </c>
      <c r="R10" s="21" t="s">
        <v>21</v>
      </c>
      <c r="S10" s="21"/>
      <c r="T10" s="21"/>
      <c r="U10" s="22" t="s">
        <v>19</v>
      </c>
      <c r="V10" s="23" t="s">
        <v>15</v>
      </c>
      <c r="W10" s="24">
        <v>0.1</v>
      </c>
      <c r="X10" s="23">
        <v>44.43</v>
      </c>
      <c r="Y10" s="23">
        <v>4.4400000000000004</v>
      </c>
      <c r="Z10" s="35">
        <v>1018</v>
      </c>
      <c r="AA10" s="35">
        <f t="shared" si="2"/>
        <v>101.8</v>
      </c>
    </row>
    <row r="11" spans="1:27" ht="12" hidden="1" customHeight="1" x14ac:dyDescent="0.3">
      <c r="A11" s="3" t="s">
        <v>34</v>
      </c>
      <c r="B11" s="3" t="s">
        <v>1</v>
      </c>
      <c r="C11" s="11">
        <v>420021882</v>
      </c>
      <c r="D11" s="11" t="s">
        <v>23</v>
      </c>
      <c r="E11" s="12" t="s">
        <v>24</v>
      </c>
      <c r="F11" s="13" t="s">
        <v>15</v>
      </c>
      <c r="G11" s="14">
        <v>6.5</v>
      </c>
      <c r="H11" s="13">
        <v>5.14</v>
      </c>
      <c r="I11" s="13">
        <v>33.409999999999997</v>
      </c>
      <c r="J11" s="1">
        <v>1018</v>
      </c>
      <c r="K11" s="1">
        <f t="shared" si="1"/>
        <v>6617</v>
      </c>
      <c r="L11" s="1"/>
      <c r="M11" s="1">
        <f t="shared" si="0"/>
        <v>0</v>
      </c>
      <c r="N11" s="41"/>
      <c r="O11" s="36" t="s">
        <v>34</v>
      </c>
      <c r="P11" s="36" t="s">
        <v>1</v>
      </c>
      <c r="Q11" s="21">
        <v>420022008</v>
      </c>
      <c r="R11" s="21" t="s">
        <v>23</v>
      </c>
      <c r="S11" s="21"/>
      <c r="T11" s="21"/>
      <c r="U11" s="22" t="s">
        <v>24</v>
      </c>
      <c r="V11" s="23" t="s">
        <v>15</v>
      </c>
      <c r="W11" s="24">
        <v>3</v>
      </c>
      <c r="X11" s="23">
        <v>5.61</v>
      </c>
      <c r="Y11" s="23">
        <v>16.829999999999998</v>
      </c>
      <c r="Z11" s="35">
        <v>1018</v>
      </c>
      <c r="AA11" s="35">
        <f t="shared" si="2"/>
        <v>3054</v>
      </c>
    </row>
    <row r="12" spans="1:27" ht="12" hidden="1" customHeight="1" x14ac:dyDescent="0.3">
      <c r="A12" s="3" t="s">
        <v>34</v>
      </c>
      <c r="B12" s="3" t="s">
        <v>1</v>
      </c>
      <c r="C12" s="11">
        <v>420020001</v>
      </c>
      <c r="D12" s="11" t="s">
        <v>27</v>
      </c>
      <c r="E12" s="12" t="s">
        <v>26</v>
      </c>
      <c r="F12" s="13" t="s">
        <v>15</v>
      </c>
      <c r="G12" s="14">
        <v>0.55000000000000004</v>
      </c>
      <c r="H12" s="13">
        <v>54</v>
      </c>
      <c r="I12" s="13">
        <v>29.7</v>
      </c>
      <c r="J12" s="1">
        <v>1018</v>
      </c>
      <c r="K12" s="1">
        <f t="shared" si="1"/>
        <v>559.9</v>
      </c>
      <c r="L12" s="1"/>
      <c r="M12" s="1">
        <f t="shared" si="0"/>
        <v>0</v>
      </c>
      <c r="N12" s="41"/>
      <c r="O12" s="36" t="s">
        <v>34</v>
      </c>
      <c r="P12" s="36" t="s">
        <v>1</v>
      </c>
      <c r="Q12" s="21">
        <v>440010001</v>
      </c>
      <c r="R12" s="21" t="s">
        <v>25</v>
      </c>
      <c r="S12" s="21"/>
      <c r="T12" s="21"/>
      <c r="U12" s="22" t="s">
        <v>26</v>
      </c>
      <c r="V12" s="23" t="s">
        <v>15</v>
      </c>
      <c r="W12" s="24">
        <v>0.01</v>
      </c>
      <c r="X12" s="23">
        <v>51.57</v>
      </c>
      <c r="Y12" s="23">
        <v>0.52</v>
      </c>
      <c r="Z12" s="35">
        <v>1018</v>
      </c>
      <c r="AA12" s="35">
        <f t="shared" si="2"/>
        <v>10.18</v>
      </c>
    </row>
    <row r="13" spans="1:27" ht="12" hidden="1" customHeight="1" x14ac:dyDescent="0.3">
      <c r="A13" s="3" t="s">
        <v>34</v>
      </c>
      <c r="B13" s="3" t="s">
        <v>1</v>
      </c>
      <c r="C13" s="11">
        <v>590020325</v>
      </c>
      <c r="D13" s="11" t="s">
        <v>29</v>
      </c>
      <c r="E13" s="12" t="s">
        <v>30</v>
      </c>
      <c r="F13" s="13" t="s">
        <v>15</v>
      </c>
      <c r="G13" s="14">
        <v>1.3</v>
      </c>
      <c r="H13" s="13">
        <v>26.9</v>
      </c>
      <c r="I13" s="13">
        <v>34.97</v>
      </c>
      <c r="J13" s="1">
        <v>1018</v>
      </c>
      <c r="K13" s="1">
        <f t="shared" si="1"/>
        <v>1323.4</v>
      </c>
      <c r="L13" s="1"/>
      <c r="M13" s="1">
        <f t="shared" si="0"/>
        <v>0</v>
      </c>
      <c r="N13" s="41"/>
      <c r="O13" s="36" t="s">
        <v>34</v>
      </c>
      <c r="P13" s="36" t="s">
        <v>1</v>
      </c>
      <c r="Q13" s="21">
        <v>300010116</v>
      </c>
      <c r="R13" s="21" t="s">
        <v>28</v>
      </c>
      <c r="S13" s="21"/>
      <c r="T13" s="21"/>
      <c r="U13" s="22" t="s">
        <v>26</v>
      </c>
      <c r="V13" s="23" t="s">
        <v>15</v>
      </c>
      <c r="W13" s="24">
        <v>0.15</v>
      </c>
      <c r="X13" s="23">
        <v>29.5</v>
      </c>
      <c r="Y13" s="23">
        <v>4.43</v>
      </c>
      <c r="Z13" s="35">
        <v>1018</v>
      </c>
      <c r="AA13" s="35">
        <f t="shared" si="2"/>
        <v>152.69999999999999</v>
      </c>
    </row>
    <row r="14" spans="1:27" ht="12" hidden="1" customHeight="1" x14ac:dyDescent="0.3">
      <c r="A14" s="3" t="s">
        <v>34</v>
      </c>
      <c r="B14" s="3" t="s">
        <v>1</v>
      </c>
      <c r="C14" s="11">
        <v>370020001</v>
      </c>
      <c r="D14" s="11" t="s">
        <v>31</v>
      </c>
      <c r="E14" s="12" t="s">
        <v>32</v>
      </c>
      <c r="F14" s="13" t="s">
        <v>15</v>
      </c>
      <c r="G14" s="14">
        <v>3</v>
      </c>
      <c r="H14" s="13">
        <v>27.12</v>
      </c>
      <c r="I14" s="13">
        <v>0.81</v>
      </c>
      <c r="J14" s="1">
        <v>1018</v>
      </c>
      <c r="K14" s="1">
        <f t="shared" si="1"/>
        <v>3054</v>
      </c>
      <c r="L14" s="1"/>
      <c r="M14" s="1">
        <f t="shared" si="0"/>
        <v>0</v>
      </c>
      <c r="N14" s="41"/>
      <c r="O14" s="36" t="s">
        <v>34</v>
      </c>
      <c r="P14" s="36" t="s">
        <v>1</v>
      </c>
      <c r="Q14" s="21">
        <v>370020001</v>
      </c>
      <c r="R14" s="21" t="s">
        <v>31</v>
      </c>
      <c r="S14" s="21"/>
      <c r="T14" s="21"/>
      <c r="U14" s="22" t="s">
        <v>32</v>
      </c>
      <c r="V14" s="23" t="s">
        <v>15</v>
      </c>
      <c r="W14" s="24">
        <v>3</v>
      </c>
      <c r="X14" s="23">
        <v>28.62</v>
      </c>
      <c r="Y14" s="23">
        <v>0.86</v>
      </c>
      <c r="Z14" s="35">
        <v>1018</v>
      </c>
      <c r="AA14" s="35">
        <f t="shared" si="2"/>
        <v>3054</v>
      </c>
    </row>
    <row r="15" spans="1:27" ht="12" hidden="1" customHeight="1" x14ac:dyDescent="0.3">
      <c r="A15" s="3" t="s">
        <v>35</v>
      </c>
      <c r="B15" s="11" t="s">
        <v>33</v>
      </c>
      <c r="C15" s="11">
        <v>471060001</v>
      </c>
      <c r="D15" s="11" t="s">
        <v>9</v>
      </c>
      <c r="E15" s="12" t="s">
        <v>10</v>
      </c>
      <c r="F15" s="13">
        <v>2</v>
      </c>
      <c r="G15" s="14">
        <v>0.4</v>
      </c>
      <c r="H15" s="13">
        <v>19.7</v>
      </c>
      <c r="I15" s="13">
        <v>7.88</v>
      </c>
      <c r="J15" s="1">
        <v>4368.09</v>
      </c>
      <c r="K15" s="1">
        <f t="shared" si="1"/>
        <v>1747.2360000000001</v>
      </c>
      <c r="L15" s="1"/>
      <c r="M15" s="1">
        <f t="shared" si="0"/>
        <v>0</v>
      </c>
      <c r="N15" s="41"/>
      <c r="O15" s="36" t="s">
        <v>35</v>
      </c>
      <c r="P15" s="21" t="s">
        <v>33</v>
      </c>
      <c r="Q15" s="21">
        <v>470010103</v>
      </c>
      <c r="R15" s="21" t="s">
        <v>9</v>
      </c>
      <c r="S15" s="21"/>
      <c r="T15" s="21"/>
      <c r="U15" s="22" t="s">
        <v>10</v>
      </c>
      <c r="V15" s="23">
        <v>2</v>
      </c>
      <c r="W15" s="24">
        <v>0.4</v>
      </c>
      <c r="X15" s="23">
        <v>20.67</v>
      </c>
      <c r="Y15" s="23">
        <v>8.27</v>
      </c>
      <c r="Z15" s="35">
        <v>4368.09</v>
      </c>
      <c r="AA15" s="35">
        <f t="shared" si="2"/>
        <v>1747.2360000000001</v>
      </c>
    </row>
    <row r="16" spans="1:27" ht="12" hidden="1" customHeight="1" x14ac:dyDescent="0.3">
      <c r="A16" s="3" t="s">
        <v>35</v>
      </c>
      <c r="B16" s="11" t="s">
        <v>33</v>
      </c>
      <c r="C16" s="11">
        <v>470020001</v>
      </c>
      <c r="D16" s="11" t="s">
        <v>11</v>
      </c>
      <c r="E16" s="12" t="s">
        <v>10</v>
      </c>
      <c r="F16" s="13">
        <v>4</v>
      </c>
      <c r="G16" s="14">
        <v>0.8</v>
      </c>
      <c r="H16" s="13">
        <v>16.399999999999999</v>
      </c>
      <c r="I16" s="13">
        <v>13.12</v>
      </c>
      <c r="J16" s="1">
        <v>4368.09</v>
      </c>
      <c r="K16" s="1">
        <f t="shared" si="1"/>
        <v>3494.4720000000002</v>
      </c>
      <c r="L16" s="1"/>
      <c r="M16" s="1">
        <f t="shared" si="0"/>
        <v>0</v>
      </c>
      <c r="N16" s="41"/>
      <c r="O16" s="36" t="s">
        <v>35</v>
      </c>
      <c r="P16" s="21" t="s">
        <v>33</v>
      </c>
      <c r="Q16" s="21">
        <v>470010102</v>
      </c>
      <c r="R16" s="21" t="s">
        <v>11</v>
      </c>
      <c r="S16" s="21"/>
      <c r="T16" s="21"/>
      <c r="U16" s="22" t="s">
        <v>10</v>
      </c>
      <c r="V16" s="23">
        <v>4</v>
      </c>
      <c r="W16" s="24">
        <v>0.8</v>
      </c>
      <c r="X16" s="23">
        <v>17.5</v>
      </c>
      <c r="Y16" s="23">
        <v>14</v>
      </c>
      <c r="Z16" s="35">
        <v>4368.09</v>
      </c>
      <c r="AA16" s="35">
        <f t="shared" si="2"/>
        <v>3494.4720000000002</v>
      </c>
    </row>
    <row r="17" spans="1:27" ht="12" hidden="1" customHeight="1" x14ac:dyDescent="0.3">
      <c r="A17" s="3" t="s">
        <v>35</v>
      </c>
      <c r="B17" s="11" t="s">
        <v>33</v>
      </c>
      <c r="C17" s="11">
        <v>471060276</v>
      </c>
      <c r="D17" s="11" t="s">
        <v>12</v>
      </c>
      <c r="E17" s="12" t="s">
        <v>10</v>
      </c>
      <c r="F17" s="13">
        <v>2</v>
      </c>
      <c r="G17" s="14">
        <v>0.4</v>
      </c>
      <c r="H17" s="13">
        <v>15.3</v>
      </c>
      <c r="I17" s="13">
        <v>6.12</v>
      </c>
      <c r="J17" s="1">
        <v>4368.09</v>
      </c>
      <c r="K17" s="1">
        <f t="shared" si="1"/>
        <v>1747.2360000000001</v>
      </c>
      <c r="L17" s="1"/>
      <c r="M17" s="1">
        <f t="shared" si="0"/>
        <v>0</v>
      </c>
      <c r="N17" s="41"/>
      <c r="O17" s="36" t="s">
        <v>35</v>
      </c>
      <c r="P17" s="21" t="s">
        <v>33</v>
      </c>
      <c r="Q17" s="21">
        <v>470010001</v>
      </c>
      <c r="R17" s="21" t="s">
        <v>12</v>
      </c>
      <c r="S17" s="21"/>
      <c r="T17" s="21"/>
      <c r="U17" s="22" t="s">
        <v>10</v>
      </c>
      <c r="V17" s="23">
        <v>2</v>
      </c>
      <c r="W17" s="24">
        <v>0.4</v>
      </c>
      <c r="X17" s="23">
        <v>15.88</v>
      </c>
      <c r="Y17" s="23">
        <v>6.35</v>
      </c>
      <c r="Z17" s="35">
        <v>4368.09</v>
      </c>
      <c r="AA17" s="35">
        <f t="shared" si="2"/>
        <v>1747.2360000000001</v>
      </c>
    </row>
    <row r="18" spans="1:27" ht="12" hidden="1" customHeight="1" x14ac:dyDescent="0.3">
      <c r="A18" s="3" t="s">
        <v>35</v>
      </c>
      <c r="B18" s="11" t="s">
        <v>33</v>
      </c>
      <c r="C18" s="11">
        <v>20020277</v>
      </c>
      <c r="D18" s="11" t="s">
        <v>13</v>
      </c>
      <c r="E18" s="12" t="s">
        <v>14</v>
      </c>
      <c r="F18" s="13" t="s">
        <v>15</v>
      </c>
      <c r="G18" s="14">
        <v>0.25</v>
      </c>
      <c r="H18" s="13">
        <v>7</v>
      </c>
      <c r="I18" s="13">
        <v>1.75</v>
      </c>
      <c r="J18" s="1">
        <v>4368.09</v>
      </c>
      <c r="K18" s="1">
        <f t="shared" si="1"/>
        <v>1092.0225</v>
      </c>
      <c r="L18" s="1"/>
      <c r="M18" s="1">
        <f t="shared" si="0"/>
        <v>0</v>
      </c>
      <c r="N18" s="41"/>
      <c r="O18" s="36" t="s">
        <v>35</v>
      </c>
      <c r="P18" s="21" t="s">
        <v>33</v>
      </c>
      <c r="Q18" s="21">
        <v>20020280</v>
      </c>
      <c r="R18" s="21" t="s">
        <v>13</v>
      </c>
      <c r="S18" s="21"/>
      <c r="T18" s="21"/>
      <c r="U18" s="22" t="s">
        <v>14</v>
      </c>
      <c r="V18" s="23" t="s">
        <v>15</v>
      </c>
      <c r="W18" s="24">
        <v>0.25</v>
      </c>
      <c r="X18" s="23">
        <v>7</v>
      </c>
      <c r="Y18" s="23">
        <v>1.75</v>
      </c>
      <c r="Z18" s="35">
        <v>4368.09</v>
      </c>
      <c r="AA18" s="35">
        <f t="shared" si="2"/>
        <v>1092.0225</v>
      </c>
    </row>
    <row r="19" spans="1:27" ht="12" customHeight="1" x14ac:dyDescent="0.3">
      <c r="A19" s="3" t="s">
        <v>35</v>
      </c>
      <c r="B19" s="11" t="s">
        <v>33</v>
      </c>
      <c r="C19" s="11">
        <v>50020001</v>
      </c>
      <c r="D19" s="11" t="s">
        <v>16</v>
      </c>
      <c r="E19" s="12" t="s">
        <v>17</v>
      </c>
      <c r="F19" s="13" t="s">
        <v>15</v>
      </c>
      <c r="G19" s="14">
        <v>0.05</v>
      </c>
      <c r="H19" s="13">
        <v>75</v>
      </c>
      <c r="I19" s="13">
        <v>3.75</v>
      </c>
      <c r="J19" s="1">
        <v>4368.09</v>
      </c>
      <c r="K19" s="1">
        <f t="shared" si="1"/>
        <v>218.40450000000001</v>
      </c>
      <c r="L19" s="2">
        <v>0.02</v>
      </c>
      <c r="M19" s="1">
        <f t="shared" si="0"/>
        <v>87.361800000000002</v>
      </c>
      <c r="N19" s="41">
        <v>100</v>
      </c>
      <c r="O19" s="36" t="s">
        <v>35</v>
      </c>
      <c r="P19" s="21" t="s">
        <v>33</v>
      </c>
      <c r="Q19" s="21">
        <v>50020001</v>
      </c>
      <c r="R19" s="21" t="s">
        <v>16</v>
      </c>
      <c r="S19" s="21"/>
      <c r="T19" s="21"/>
      <c r="U19" s="22" t="s">
        <v>17</v>
      </c>
      <c r="V19" s="23" t="s">
        <v>15</v>
      </c>
      <c r="W19" s="24">
        <v>0.01</v>
      </c>
      <c r="X19" s="23">
        <v>75</v>
      </c>
      <c r="Y19" s="23">
        <v>0.75</v>
      </c>
      <c r="Z19" s="35">
        <v>4368.09</v>
      </c>
      <c r="AA19" s="35">
        <f t="shared" si="2"/>
        <v>43.680900000000001</v>
      </c>
    </row>
    <row r="20" spans="1:27" ht="12" hidden="1" customHeight="1" x14ac:dyDescent="0.3">
      <c r="A20" s="3" t="s">
        <v>35</v>
      </c>
      <c r="B20" s="11" t="s">
        <v>33</v>
      </c>
      <c r="C20" s="11">
        <v>300020002</v>
      </c>
      <c r="D20" s="11" t="s">
        <v>18</v>
      </c>
      <c r="E20" s="12" t="s">
        <v>19</v>
      </c>
      <c r="F20" s="13" t="s">
        <v>15</v>
      </c>
      <c r="G20" s="14">
        <v>0.05</v>
      </c>
      <c r="H20" s="13">
        <v>129.74</v>
      </c>
      <c r="I20" s="13">
        <v>6.49</v>
      </c>
      <c r="J20" s="1">
        <v>4368.09</v>
      </c>
      <c r="K20" s="1">
        <f t="shared" si="1"/>
        <v>218.40450000000001</v>
      </c>
      <c r="L20" s="1"/>
      <c r="M20" s="1">
        <f t="shared" si="0"/>
        <v>0</v>
      </c>
      <c r="N20" s="41"/>
      <c r="O20" s="36" t="s">
        <v>35</v>
      </c>
      <c r="P20" s="21" t="s">
        <v>33</v>
      </c>
      <c r="Q20" s="21">
        <v>300020002</v>
      </c>
      <c r="R20" s="21" t="s">
        <v>18</v>
      </c>
      <c r="S20" s="21"/>
      <c r="T20" s="21"/>
      <c r="U20" s="22" t="s">
        <v>19</v>
      </c>
      <c r="V20" s="23" t="s">
        <v>15</v>
      </c>
      <c r="W20" s="24">
        <v>0.05</v>
      </c>
      <c r="X20" s="23">
        <v>129.74</v>
      </c>
      <c r="Y20" s="23">
        <v>6.49</v>
      </c>
      <c r="Z20" s="35">
        <v>4368.09</v>
      </c>
      <c r="AA20" s="35">
        <f t="shared" si="2"/>
        <v>218.40450000000001</v>
      </c>
    </row>
    <row r="21" spans="1:27" ht="12" hidden="1" customHeight="1" x14ac:dyDescent="0.3">
      <c r="A21" s="3" t="s">
        <v>35</v>
      </c>
      <c r="B21" s="11" t="s">
        <v>33</v>
      </c>
      <c r="C21" s="11">
        <v>260020001</v>
      </c>
      <c r="D21" s="11" t="s">
        <v>20</v>
      </c>
      <c r="E21" s="12" t="s">
        <v>19</v>
      </c>
      <c r="F21" s="13" t="s">
        <v>15</v>
      </c>
      <c r="G21" s="14">
        <v>7.4999999999999997E-2</v>
      </c>
      <c r="H21" s="13">
        <v>6.5</v>
      </c>
      <c r="I21" s="13">
        <v>0.49</v>
      </c>
      <c r="J21" s="1">
        <v>4368.09</v>
      </c>
      <c r="K21" s="1">
        <f t="shared" si="1"/>
        <v>327.60680000000002</v>
      </c>
      <c r="L21" s="1"/>
      <c r="M21" s="1">
        <f t="shared" si="0"/>
        <v>0</v>
      </c>
      <c r="N21" s="41"/>
      <c r="O21" s="36" t="s">
        <v>35</v>
      </c>
      <c r="P21" s="21" t="s">
        <v>33</v>
      </c>
      <c r="Q21" s="21">
        <v>260020001</v>
      </c>
      <c r="R21" s="21" t="s">
        <v>20</v>
      </c>
      <c r="S21" s="21"/>
      <c r="T21" s="21"/>
      <c r="U21" s="22" t="s">
        <v>19</v>
      </c>
      <c r="V21" s="23" t="s">
        <v>15</v>
      </c>
      <c r="W21" s="24">
        <v>7.4999999999999997E-2</v>
      </c>
      <c r="X21" s="23">
        <v>6.5</v>
      </c>
      <c r="Y21" s="23">
        <v>0.49</v>
      </c>
      <c r="Z21" s="35">
        <v>4368.09</v>
      </c>
      <c r="AA21" s="35">
        <f t="shared" si="2"/>
        <v>327.60680000000002</v>
      </c>
    </row>
    <row r="22" spans="1:27" ht="12" hidden="1" customHeight="1" x14ac:dyDescent="0.3">
      <c r="A22" s="3" t="s">
        <v>35</v>
      </c>
      <c r="B22" s="11" t="s">
        <v>33</v>
      </c>
      <c r="C22" s="11">
        <v>430022270</v>
      </c>
      <c r="D22" s="11" t="s">
        <v>22</v>
      </c>
      <c r="E22" s="12" t="s">
        <v>19</v>
      </c>
      <c r="F22" s="13" t="s">
        <v>15</v>
      </c>
      <c r="G22" s="14">
        <v>0.3</v>
      </c>
      <c r="H22" s="13">
        <v>18.05</v>
      </c>
      <c r="I22" s="13">
        <v>5.42</v>
      </c>
      <c r="J22" s="1">
        <v>4368.09</v>
      </c>
      <c r="K22" s="1">
        <f t="shared" si="1"/>
        <v>1310.4269999999999</v>
      </c>
      <c r="L22" s="1"/>
      <c r="M22" s="1">
        <f t="shared" si="0"/>
        <v>0</v>
      </c>
      <c r="N22" s="41"/>
      <c r="O22" s="36" t="s">
        <v>35</v>
      </c>
      <c r="P22" s="21" t="s">
        <v>33</v>
      </c>
      <c r="Q22" s="21">
        <v>430010014</v>
      </c>
      <c r="R22" s="21" t="s">
        <v>21</v>
      </c>
      <c r="S22" s="21"/>
      <c r="T22" s="21"/>
      <c r="U22" s="22" t="s">
        <v>19</v>
      </c>
      <c r="V22" s="23" t="s">
        <v>15</v>
      </c>
      <c r="W22" s="24">
        <v>0.1</v>
      </c>
      <c r="X22" s="23">
        <v>44.43</v>
      </c>
      <c r="Y22" s="23">
        <v>4.4400000000000004</v>
      </c>
      <c r="Z22" s="35">
        <v>4368.09</v>
      </c>
      <c r="AA22" s="35">
        <f t="shared" si="2"/>
        <v>436.80900000000003</v>
      </c>
    </row>
    <row r="23" spans="1:27" ht="12" hidden="1" customHeight="1" x14ac:dyDescent="0.3">
      <c r="A23" s="3" t="s">
        <v>35</v>
      </c>
      <c r="B23" s="11" t="s">
        <v>33</v>
      </c>
      <c r="C23" s="11">
        <v>420021882</v>
      </c>
      <c r="D23" s="11" t="s">
        <v>23</v>
      </c>
      <c r="E23" s="12" t="s">
        <v>24</v>
      </c>
      <c r="F23" s="13" t="s">
        <v>15</v>
      </c>
      <c r="G23" s="14">
        <v>6.5</v>
      </c>
      <c r="H23" s="13">
        <v>5.14</v>
      </c>
      <c r="I23" s="13">
        <v>33.409999999999997</v>
      </c>
      <c r="J23" s="1">
        <v>4368.09</v>
      </c>
      <c r="K23" s="1">
        <f t="shared" si="1"/>
        <v>28392.584999999999</v>
      </c>
      <c r="L23" s="1"/>
      <c r="M23" s="1">
        <f t="shared" si="0"/>
        <v>0</v>
      </c>
      <c r="N23" s="41"/>
      <c r="O23" s="36" t="s">
        <v>35</v>
      </c>
      <c r="P23" s="21" t="s">
        <v>33</v>
      </c>
      <c r="Q23" s="21">
        <v>420022008</v>
      </c>
      <c r="R23" s="21" t="s">
        <v>23</v>
      </c>
      <c r="S23" s="21"/>
      <c r="T23" s="21"/>
      <c r="U23" s="22" t="s">
        <v>24</v>
      </c>
      <c r="V23" s="23" t="s">
        <v>15</v>
      </c>
      <c r="W23" s="24">
        <v>4.7</v>
      </c>
      <c r="X23" s="23">
        <v>5.61</v>
      </c>
      <c r="Y23" s="23">
        <v>26.37</v>
      </c>
      <c r="Z23" s="35">
        <v>4368.09</v>
      </c>
      <c r="AA23" s="35">
        <f t="shared" si="2"/>
        <v>20530.023000000001</v>
      </c>
    </row>
    <row r="24" spans="1:27" ht="12" hidden="1" customHeight="1" x14ac:dyDescent="0.3">
      <c r="A24" s="3" t="s">
        <v>35</v>
      </c>
      <c r="B24" s="11" t="s">
        <v>33</v>
      </c>
      <c r="C24" s="11">
        <v>420020001</v>
      </c>
      <c r="D24" s="11" t="s">
        <v>27</v>
      </c>
      <c r="E24" s="12" t="s">
        <v>26</v>
      </c>
      <c r="F24" s="13" t="s">
        <v>15</v>
      </c>
      <c r="G24" s="14">
        <v>0.35</v>
      </c>
      <c r="H24" s="13">
        <v>54</v>
      </c>
      <c r="I24" s="13">
        <v>18.899999999999999</v>
      </c>
      <c r="J24" s="1">
        <v>4368.09</v>
      </c>
      <c r="K24" s="1">
        <f t="shared" si="1"/>
        <v>1528.8315</v>
      </c>
      <c r="L24" s="1"/>
      <c r="M24" s="1">
        <f t="shared" si="0"/>
        <v>0</v>
      </c>
      <c r="N24" s="41"/>
      <c r="O24" s="36" t="s">
        <v>35</v>
      </c>
      <c r="P24" s="21" t="s">
        <v>33</v>
      </c>
      <c r="Q24" s="21">
        <v>440010001</v>
      </c>
      <c r="R24" s="21" t="s">
        <v>25</v>
      </c>
      <c r="S24" s="21"/>
      <c r="T24" s="21"/>
      <c r="U24" s="22" t="s">
        <v>26</v>
      </c>
      <c r="V24" s="23" t="s">
        <v>15</v>
      </c>
      <c r="W24" s="24">
        <v>0.01</v>
      </c>
      <c r="X24" s="23">
        <v>51.57</v>
      </c>
      <c r="Y24" s="23">
        <v>0.52</v>
      </c>
      <c r="Z24" s="35">
        <v>4368.09</v>
      </c>
      <c r="AA24" s="35">
        <f t="shared" si="2"/>
        <v>43.680900000000001</v>
      </c>
    </row>
    <row r="25" spans="1:27" ht="12" hidden="1" customHeight="1" x14ac:dyDescent="0.3">
      <c r="A25" s="3" t="s">
        <v>35</v>
      </c>
      <c r="B25" s="11" t="s">
        <v>33</v>
      </c>
      <c r="C25" s="11">
        <v>590020325</v>
      </c>
      <c r="D25" s="11" t="s">
        <v>29</v>
      </c>
      <c r="E25" s="12" t="s">
        <v>30</v>
      </c>
      <c r="F25" s="13" t="s">
        <v>15</v>
      </c>
      <c r="G25" s="14">
        <v>0.42</v>
      </c>
      <c r="H25" s="13">
        <v>26.9</v>
      </c>
      <c r="I25" s="13">
        <v>11.3</v>
      </c>
      <c r="J25" s="1">
        <v>4368.09</v>
      </c>
      <c r="K25" s="1">
        <f t="shared" si="1"/>
        <v>1834.5978</v>
      </c>
      <c r="L25" s="1"/>
      <c r="M25" s="1">
        <f t="shared" si="0"/>
        <v>0</v>
      </c>
      <c r="N25" s="41"/>
      <c r="O25" s="36" t="s">
        <v>35</v>
      </c>
      <c r="P25" s="21" t="s">
        <v>33</v>
      </c>
      <c r="Q25" s="21">
        <v>300010116</v>
      </c>
      <c r="R25" s="21" t="s">
        <v>28</v>
      </c>
      <c r="S25" s="21"/>
      <c r="T25" s="21"/>
      <c r="U25" s="22" t="s">
        <v>26</v>
      </c>
      <c r="V25" s="23" t="s">
        <v>15</v>
      </c>
      <c r="W25" s="24">
        <v>0.1</v>
      </c>
      <c r="X25" s="23">
        <v>29.5</v>
      </c>
      <c r="Y25" s="23">
        <v>2.95</v>
      </c>
      <c r="Z25" s="35">
        <v>4368.09</v>
      </c>
      <c r="AA25" s="35">
        <f t="shared" si="2"/>
        <v>436.80900000000003</v>
      </c>
    </row>
    <row r="26" spans="1:27" ht="12" hidden="1" customHeight="1" x14ac:dyDescent="0.3">
      <c r="A26" s="3" t="s">
        <v>35</v>
      </c>
      <c r="B26" s="11" t="s">
        <v>33</v>
      </c>
      <c r="C26" s="11">
        <v>370020001</v>
      </c>
      <c r="D26" s="11" t="s">
        <v>31</v>
      </c>
      <c r="E26" s="12" t="s">
        <v>32</v>
      </c>
      <c r="F26" s="13" t="s">
        <v>15</v>
      </c>
      <c r="G26" s="14">
        <v>3</v>
      </c>
      <c r="H26" s="13">
        <v>27.12</v>
      </c>
      <c r="I26" s="13">
        <v>0.81</v>
      </c>
      <c r="J26" s="1">
        <v>4368.09</v>
      </c>
      <c r="K26" s="1">
        <f t="shared" si="1"/>
        <v>13104.27</v>
      </c>
      <c r="L26" s="1"/>
      <c r="M26" s="1">
        <f t="shared" si="0"/>
        <v>0</v>
      </c>
      <c r="N26" s="41"/>
      <c r="O26" s="36" t="s">
        <v>35</v>
      </c>
      <c r="P26" s="21" t="s">
        <v>33</v>
      </c>
      <c r="Q26" s="21">
        <v>370020001</v>
      </c>
      <c r="R26" s="21" t="s">
        <v>31</v>
      </c>
      <c r="S26" s="21"/>
      <c r="T26" s="21"/>
      <c r="U26" s="22" t="s">
        <v>32</v>
      </c>
      <c r="V26" s="23" t="s">
        <v>15</v>
      </c>
      <c r="W26" s="24">
        <v>3</v>
      </c>
      <c r="X26" s="23">
        <v>28.62</v>
      </c>
      <c r="Y26" s="23">
        <v>0.86</v>
      </c>
      <c r="Z26" s="35">
        <v>4368.09</v>
      </c>
      <c r="AA26" s="35">
        <f t="shared" si="2"/>
        <v>13104.27</v>
      </c>
    </row>
    <row r="27" spans="1:27" ht="12" customHeight="1" x14ac:dyDescent="0.3">
      <c r="C27" s="20"/>
      <c r="D27" s="20"/>
      <c r="J27" s="6"/>
      <c r="K27" s="6">
        <f t="shared" ref="K27:M27" si="3">SUBTOTAL(9,K3:K26)</f>
        <v>269.30450000000002</v>
      </c>
      <c r="L27" s="6"/>
      <c r="M27" s="6">
        <f t="shared" si="3"/>
        <v>105.6858</v>
      </c>
      <c r="N27" s="3">
        <f>SUBTOTAL(101,Tabla2[adquirido])</f>
        <v>100</v>
      </c>
    </row>
    <row r="28" spans="1:27" ht="12" customHeight="1" x14ac:dyDescent="0.3">
      <c r="E28" s="5"/>
    </row>
    <row r="29" spans="1:27" ht="12" customHeight="1" x14ac:dyDescent="0.3">
      <c r="C29" s="7"/>
      <c r="D29" s="7"/>
      <c r="E29" s="8"/>
      <c r="F29" s="9"/>
      <c r="G29" s="10"/>
      <c r="H29" s="9"/>
      <c r="I29" s="9"/>
      <c r="Q29" s="7"/>
      <c r="R29" s="7"/>
      <c r="S29" s="7"/>
      <c r="T29" s="7"/>
      <c r="U29" s="8"/>
      <c r="V29" s="9"/>
      <c r="W29" s="10"/>
      <c r="X29" s="9"/>
      <c r="Y29" s="9"/>
    </row>
  </sheetData>
  <pageMargins left="0.70866137742996216" right="0.70866137742996216" top="0.70866137742996216" bottom="0.70866137742996216" header="0.3" footer="0.3"/>
  <pageSetup paperSize="9" orientation="portrait" errors="blank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ACU_Compara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Jorge Luis dueñas ttito</cp:lastModifiedBy>
  <dcterms:created xsi:type="dcterms:W3CDTF">2026-04-20T21:51:23Z</dcterms:created>
  <dcterms:modified xsi:type="dcterms:W3CDTF">2026-04-21T22:17:39Z</dcterms:modified>
</cp:coreProperties>
</file>